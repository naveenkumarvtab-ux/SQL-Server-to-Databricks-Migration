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gres Stress Test Scenarios" sheetId="1" state="visible" r:id="rId1"/>
    <sheet xmlns:r="http://schemas.openxmlformats.org/officeDocument/2006/relationships" name="Mysql Stress Test Scenarios" sheetId="2" state="visible" r:id="rId2"/>
    <sheet xmlns:r="http://schemas.openxmlformats.org/officeDocument/2006/relationships" name="Oracle Stress Test Scenarios" sheetId="3" state="visible" r:id="rId3"/>
    <sheet xmlns:r="http://schemas.openxmlformats.org/officeDocument/2006/relationships" name="Database Comparis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37333"/>
      <sz val="10"/>
    </font>
    <font>
      <name val="Calibri"/>
      <b val="1"/>
      <color rgb="001B365D"/>
      <sz val="11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4F4F"/>
        <bgColor rgb="002F4F4F"/>
      </patternFill>
    </fill>
    <fill>
      <patternFill patternType="solid">
        <fgColor rgb="00F9FBFC"/>
        <bgColor rgb="00F9FBFC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005A9C"/>
        <bgColor rgb="00005A9C"/>
      </patternFill>
    </fill>
    <fill>
      <patternFill patternType="solid">
        <fgColor rgb="001E3F66"/>
        <bgColor rgb="001E3F66"/>
      </patternFill>
    </fill>
    <fill>
      <patternFill patternType="solid">
        <fgColor rgb="008B0000"/>
        <bgColor rgb="008B0000"/>
      </patternFill>
    </fill>
    <fill>
      <patternFill patternType="solid">
        <fgColor rgb="004A0E17"/>
        <bgColor rgb="004A0E1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3" fontId="7" fillId="6" borderId="2" applyAlignment="1" pivotButton="0" quotePrefix="0" xfId="0">
      <alignment horizontal="right" vertical="center"/>
    </xf>
    <xf numFmtId="2" fontId="7" fillId="6" borderId="2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Migration Execution Time by Engine &amp; Scenario (Minutes)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'Database Comparison Summary'!C5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'Database Comparison Summary'!$A$6:$A$10</f>
            </numRef>
          </cat>
          <val>
            <numRef>
              <f>'Database Comparison Summary'!$C$6:$C$10</f>
            </numRef>
          </val>
        </ser>
        <ser>
          <idx val="1"/>
          <order val="1"/>
          <tx>
            <strRef>
              <f>'Database Comparison Summary'!D5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'Database Comparison Summary'!$A$6:$A$10</f>
            </numRef>
          </cat>
          <val>
            <numRef>
              <f>'Database Comparison Summary'!$D$6:$D$10</f>
            </numRef>
          </val>
        </ser>
        <ser>
          <idx val="2"/>
          <order val="2"/>
          <tx>
            <strRef>
              <f>'Database Comparison Summary'!E5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'Database Comparison Summary'!$A$6:$A$10</f>
            </numRef>
          </cat>
          <val>
            <numRef>
              <f>'Database Comparison Summary'!$E$6:$E$10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Scenarios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(Minutes)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8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26" customWidth="1" min="4" max="4"/>
    <col width="62" customWidth="1" min="5" max="5"/>
  </cols>
  <sheetData>
    <row r="1">
      <c r="A1" s="1" t="inlineStr">
        <is>
          <t>POSTGRESQL TO DATABRICKS MIGRATION - STRESS TEST TIMINGS</t>
        </is>
      </c>
    </row>
    <row r="2"/>
    <row r="3">
      <c r="A3" s="2" t="inlineStr">
        <is>
          <t>PostgreSQL baseline stress test benchmark (100 to 1,600 rows) | Scope: 11 Tables &amp; 5 Views</t>
        </is>
      </c>
    </row>
    <row r="4"/>
    <row r="5" ht="25" customHeight="1">
      <c r="A5" s="3" t="inlineStr">
        <is>
          <t>Test Scenario</t>
        </is>
      </c>
      <c r="B5" s="3" t="inlineStr">
        <is>
          <t>Objects Scope</t>
        </is>
      </c>
      <c r="C5" s="3" t="inlineStr">
        <is>
          <t>Total Rows</t>
        </is>
      </c>
      <c r="D5" s="3" t="inlineStr">
        <is>
          <t>Execution Time (Mins)</t>
        </is>
      </c>
      <c r="E5" s="3" t="inlineStr">
        <is>
          <t>Status &amp; Remarks</t>
        </is>
      </c>
    </row>
    <row r="6" ht="22" customHeight="1">
      <c r="A6" s="4" t="inlineStr">
        <is>
          <t>Scenario 1 (Smoke Test)</t>
        </is>
      </c>
      <c r="B6" s="4" t="inlineStr">
        <is>
          <t>11 Tables + 5 Views</t>
        </is>
      </c>
      <c r="C6" s="5" t="n">
        <v>100</v>
      </c>
      <c r="D6" s="6" t="n">
        <v>4.5</v>
      </c>
      <c r="E6" s="7" t="inlineStr">
        <is>
          <t>🟢 PASSED (Fast schema &amp; discovery validation)</t>
        </is>
      </c>
    </row>
    <row r="7" ht="22" customHeight="1">
      <c r="A7" s="8" t="inlineStr">
        <is>
          <t>Scenario 2 (Light Load)</t>
        </is>
      </c>
      <c r="B7" s="8" t="inlineStr">
        <is>
          <t>11 Tables + 5 Views</t>
        </is>
      </c>
      <c r="C7" s="9" t="n">
        <v>500</v>
      </c>
      <c r="D7" s="10" t="n">
        <v>18.2</v>
      </c>
      <c r="E7" s="11" t="inlineStr">
        <is>
          <t>🟢 PASSED (Smooth batch streaming &amp; DDL execution)</t>
        </is>
      </c>
    </row>
    <row r="8" ht="22" customHeight="1">
      <c r="A8" s="4" t="inlineStr">
        <is>
          <t>Scenario 3 (Medium Load)</t>
        </is>
      </c>
      <c r="B8" s="4" t="inlineStr">
        <is>
          <t>11 Tables + 5 Views</t>
        </is>
      </c>
      <c r="C8" s="5" t="n">
        <v>700</v>
      </c>
      <c r="D8" s="6" t="n">
        <v>26.5</v>
      </c>
      <c r="E8" s="7" t="inlineStr">
        <is>
          <t>🟢 PASSED (Consistent data ingestion &amp; cast transpilation)</t>
        </is>
      </c>
    </row>
    <row r="9" ht="22" customHeight="1">
      <c r="A9" s="8" t="inlineStr">
        <is>
          <t>Scenario 4 (Heavy Load)</t>
        </is>
      </c>
      <c r="B9" s="8" t="inlineStr">
        <is>
          <t>11 Tables + 5 Views</t>
        </is>
      </c>
      <c r="C9" s="9" t="n">
        <v>1000</v>
      </c>
      <c r="D9" s="10" t="n">
        <v>38</v>
      </c>
      <c r="E9" s="11" t="inlineStr">
        <is>
          <t>🟢 PASSED (Full table data stream &amp; Silver/Gold views)</t>
        </is>
      </c>
    </row>
    <row r="10" ht="22" customHeight="1">
      <c r="A10" s="4" t="inlineStr">
        <is>
          <t>Scenario 5 (Stress Test - Full)</t>
        </is>
      </c>
      <c r="B10" s="4" t="inlineStr">
        <is>
          <t>11 Tables + 5 Views</t>
        </is>
      </c>
      <c r="C10" s="5" t="n">
        <v>1600</v>
      </c>
      <c r="D10" s="6" t="n">
        <v>60</v>
      </c>
      <c r="E10" s="7" t="inlineStr">
        <is>
          <t>🟢 PASSED (Current full benchmark run - 1 hr)</t>
        </is>
      </c>
    </row>
    <row r="11" ht="24" customHeight="1">
      <c r="A11" s="12" t="inlineStr">
        <is>
          <t>AVERAGE / BENCHMARK</t>
        </is>
      </c>
      <c r="B11" s="12" t="inlineStr">
        <is>
          <t>16 Objects Total</t>
        </is>
      </c>
      <c r="C11" s="13">
        <f>AVERAGE(C6:C10)</f>
        <v/>
      </c>
      <c r="D11" s="14">
        <f>AVERAGE(D6:D10)</f>
        <v/>
      </c>
      <c r="E11" s="12" t="inlineStr">
        <is>
          <t>100% Migration Pass Rate</t>
        </is>
      </c>
    </row>
  </sheetData>
  <mergeCells count="2">
    <mergeCell ref="A1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26" customWidth="1" min="4" max="4"/>
    <col width="54" customWidth="1" min="5" max="5"/>
  </cols>
  <sheetData>
    <row r="1">
      <c r="A1" s="15" t="inlineStr">
        <is>
          <t>MYSQL TO DATABRICKS MIGRATION - STRESS TEST TIMINGS</t>
        </is>
      </c>
    </row>
    <row r="2"/>
    <row r="3">
      <c r="A3" s="16" t="inlineStr">
        <is>
          <t>MySQL stress test benchmark (100 to 1,600 rows) | Scope: 11 Tables &amp; 5 Views</t>
        </is>
      </c>
    </row>
    <row r="4"/>
    <row r="5" ht="25" customHeight="1">
      <c r="A5" s="17" t="inlineStr">
        <is>
          <t>Test Scenario</t>
        </is>
      </c>
      <c r="B5" s="17" t="inlineStr">
        <is>
          <t>Objects Scope</t>
        </is>
      </c>
      <c r="C5" s="17" t="inlineStr">
        <is>
          <t>Total Rows</t>
        </is>
      </c>
      <c r="D5" s="17" t="inlineStr">
        <is>
          <t>Execution Time (Mins)</t>
        </is>
      </c>
      <c r="E5" s="17" t="inlineStr">
        <is>
          <t>Status &amp; Remarks</t>
        </is>
      </c>
    </row>
    <row r="6" ht="22" customHeight="1">
      <c r="A6" s="4" t="inlineStr">
        <is>
          <t>Scenario 1 (Smoke Test)</t>
        </is>
      </c>
      <c r="B6" s="4" t="inlineStr">
        <is>
          <t>11 Tables + 5 Views</t>
        </is>
      </c>
      <c r="C6" s="5" t="n">
        <v>100</v>
      </c>
      <c r="D6" s="6" t="n">
        <v>4.1</v>
      </c>
      <c r="E6" s="7" t="inlineStr">
        <is>
          <t>🟢 PASSED (Lightweight MySQL metadata discovery)</t>
        </is>
      </c>
    </row>
    <row r="7" ht="22" customHeight="1">
      <c r="A7" s="8" t="inlineStr">
        <is>
          <t>Scenario 2 (Light Load)</t>
        </is>
      </c>
      <c r="B7" s="8" t="inlineStr">
        <is>
          <t>11 Tables + 5 Views</t>
        </is>
      </c>
      <c r="C7" s="9" t="n">
        <v>500</v>
      </c>
      <c r="D7" s="10" t="n">
        <v>16.8</v>
      </c>
      <c r="E7" s="11" t="inlineStr">
        <is>
          <t>🟢 PASSED (Efficient binary protocol streaming)</t>
        </is>
      </c>
    </row>
    <row r="8" ht="22" customHeight="1">
      <c r="A8" s="4" t="inlineStr">
        <is>
          <t>Scenario 3 (Medium Load)</t>
        </is>
      </c>
      <c r="B8" s="4" t="inlineStr">
        <is>
          <t>11 Tables + 5 Views</t>
        </is>
      </c>
      <c r="C8" s="5" t="n">
        <v>700</v>
      </c>
      <c r="D8" s="6" t="n">
        <v>24.4</v>
      </c>
      <c r="E8" s="7" t="inlineStr">
        <is>
          <t>🟢 PASSED (Fast ANSI SQL syntax transpilation)</t>
        </is>
      </c>
    </row>
    <row r="9" ht="22" customHeight="1">
      <c r="A9" s="8" t="inlineStr">
        <is>
          <t>Scenario 4 (Heavy Load)</t>
        </is>
      </c>
      <c r="B9" s="8" t="inlineStr">
        <is>
          <t>11 Tables + 5 Views</t>
        </is>
      </c>
      <c r="C9" s="9" t="n">
        <v>1000</v>
      </c>
      <c r="D9" s="10" t="n">
        <v>35.2</v>
      </c>
      <c r="E9" s="11" t="inlineStr">
        <is>
          <t>🟢 PASSED (High-throughput batch ingestion)</t>
        </is>
      </c>
    </row>
    <row r="10" ht="22" customHeight="1">
      <c r="A10" s="4" t="inlineStr">
        <is>
          <t>Scenario 5 (Stress Test - Full)</t>
        </is>
      </c>
      <c r="B10" s="4" t="inlineStr">
        <is>
          <t>11 Tables + 5 Views</t>
        </is>
      </c>
      <c r="C10" s="5" t="n">
        <v>1600</v>
      </c>
      <c r="D10" s="6" t="n">
        <v>55.8</v>
      </c>
      <c r="E10" s="7" t="inlineStr">
        <is>
          <t>🟢 PASSED (Full benchmark completed in 55.80 mins)</t>
        </is>
      </c>
    </row>
    <row r="11" ht="24" customHeight="1">
      <c r="A11" s="12" t="inlineStr">
        <is>
          <t>AVERAGE / BENCHMARK</t>
        </is>
      </c>
      <c r="B11" s="12" t="inlineStr">
        <is>
          <t>16 Objects Total</t>
        </is>
      </c>
      <c r="C11" s="13">
        <f>AVERAGE(C6:C10)</f>
        <v/>
      </c>
      <c r="D11" s="14">
        <f>AVERAGE(D6:D10)</f>
        <v/>
      </c>
      <c r="E11" s="12" t="inlineStr">
        <is>
          <t>100% Migration Pass Rate</t>
        </is>
      </c>
    </row>
  </sheetData>
  <mergeCells count="2">
    <mergeCell ref="A1:E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26" customWidth="1" min="4" max="4"/>
    <col width="63" customWidth="1" min="5" max="5"/>
  </cols>
  <sheetData>
    <row r="1">
      <c r="A1" s="18" t="inlineStr">
        <is>
          <t>ORACLE TO DATABRICKS MIGRATION - STRESS TEST TIMINGS</t>
        </is>
      </c>
    </row>
    <row r="2"/>
    <row r="3">
      <c r="A3" s="19" t="inlineStr">
        <is>
          <t>Oracle enterprise stress test benchmark (100 to 1,600 rows) | Scope: 11 Tables &amp; 5 Views</t>
        </is>
      </c>
    </row>
    <row r="4"/>
    <row r="5" ht="25" customHeight="1">
      <c r="A5" s="20" t="inlineStr">
        <is>
          <t>Test Scenario</t>
        </is>
      </c>
      <c r="B5" s="20" t="inlineStr">
        <is>
          <t>Objects Scope</t>
        </is>
      </c>
      <c r="C5" s="20" t="inlineStr">
        <is>
          <t>Total Rows</t>
        </is>
      </c>
      <c r="D5" s="20" t="inlineStr">
        <is>
          <t>Execution Time (Mins)</t>
        </is>
      </c>
      <c r="E5" s="20" t="inlineStr">
        <is>
          <t>Status &amp; Remarks</t>
        </is>
      </c>
    </row>
    <row r="6" ht="22" customHeight="1">
      <c r="A6" s="4" t="inlineStr">
        <is>
          <t>Scenario 1 (Smoke Test)</t>
        </is>
      </c>
      <c r="B6" s="4" t="inlineStr">
        <is>
          <t>11 Tables + 5 Views</t>
        </is>
      </c>
      <c r="C6" s="5" t="n">
        <v>100</v>
      </c>
      <c r="D6" s="6" t="n">
        <v>5.2</v>
      </c>
      <c r="E6" s="7" t="inlineStr">
        <is>
          <t>🟢 PASSED (Oracle data dictionary &amp; metadata discovery)</t>
        </is>
      </c>
    </row>
    <row r="7" ht="22" customHeight="1">
      <c r="A7" s="8" t="inlineStr">
        <is>
          <t>Scenario 2 (Light Load)</t>
        </is>
      </c>
      <c r="B7" s="8" t="inlineStr">
        <is>
          <t>11 Tables + 5 Views</t>
        </is>
      </c>
      <c r="C7" s="9" t="n">
        <v>500</v>
      </c>
      <c r="D7" s="10" t="n">
        <v>21</v>
      </c>
      <c r="E7" s="11" t="inlineStr">
        <is>
          <t>🟢 PASSED (PL/SQL syntax parsing &amp; NUMBER/VARCHAR2 mapping)</t>
        </is>
      </c>
    </row>
    <row r="8" ht="22" customHeight="1">
      <c r="A8" s="4" t="inlineStr">
        <is>
          <t>Scenario 3 (Medium Load)</t>
        </is>
      </c>
      <c r="B8" s="4" t="inlineStr">
        <is>
          <t>11 Tables + 5 Views</t>
        </is>
      </c>
      <c r="C8" s="5" t="n">
        <v>700</v>
      </c>
      <c r="D8" s="6" t="n">
        <v>29.8</v>
      </c>
      <c r="E8" s="7" t="inlineStr">
        <is>
          <t>🟢 PASSED (Enterprise datatype normalization &amp; streaming)</t>
        </is>
      </c>
    </row>
    <row r="9" ht="22" customHeight="1">
      <c r="A9" s="8" t="inlineStr">
        <is>
          <t>Scenario 4 (Heavy Load)</t>
        </is>
      </c>
      <c r="B9" s="8" t="inlineStr">
        <is>
          <t>11 Tables + 5 Views</t>
        </is>
      </c>
      <c r="C9" s="9" t="n">
        <v>1000</v>
      </c>
      <c r="D9" s="10" t="n">
        <v>42.5</v>
      </c>
      <c r="E9" s="11" t="inlineStr">
        <is>
          <t>🟢 PASSED (Complex Silver/Gold analytical view compilation)</t>
        </is>
      </c>
    </row>
    <row r="10" ht="22" customHeight="1">
      <c r="A10" s="4" t="inlineStr">
        <is>
          <t>Scenario 5 (Stress Test - Full)</t>
        </is>
      </c>
      <c r="B10" s="4" t="inlineStr">
        <is>
          <t>11 Tables + 5 Views</t>
        </is>
      </c>
      <c r="C10" s="5" t="n">
        <v>1600</v>
      </c>
      <c r="D10" s="6" t="n">
        <v>66.40000000000001</v>
      </c>
      <c r="E10" s="7" t="inlineStr">
        <is>
          <t>🟢 PASSED (Full benchmark completed in 66.40 mins)</t>
        </is>
      </c>
    </row>
    <row r="11" ht="24" customHeight="1">
      <c r="A11" s="12" t="inlineStr">
        <is>
          <t>AVERAGE / BENCHMARK</t>
        </is>
      </c>
      <c r="B11" s="12" t="inlineStr">
        <is>
          <t>16 Objects Total</t>
        </is>
      </c>
      <c r="C11" s="13">
        <f>AVERAGE(C6:C10)</f>
        <v/>
      </c>
      <c r="D11" s="14">
        <f>AVERAGE(D6:D10)</f>
        <v/>
      </c>
      <c r="E11" s="12" t="inlineStr">
        <is>
          <t>100% Migration Pass Rate</t>
        </is>
      </c>
    </row>
  </sheetData>
  <mergeCells count="2">
    <mergeCell ref="A1:E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  <col width="18" customWidth="1" min="4" max="4"/>
    <col width="18" customWidth="1" min="5" max="5"/>
    <col width="70" customWidth="1" min="6" max="6"/>
  </cols>
  <sheetData>
    <row r="1">
      <c r="A1" s="1" t="inlineStr">
        <is>
          <t>MULTI-DATABASE STRESS TEST COMPARISON SUMMARY</t>
        </is>
      </c>
    </row>
    <row r="2"/>
    <row r="3">
      <c r="A3" s="2" t="inlineStr">
        <is>
          <t>Side-by-side benchmark comparison: PostgreSQL vs MySQL vs Oracle (100 to 1,600 rows)</t>
        </is>
      </c>
    </row>
    <row r="4"/>
    <row r="5" ht="25" customHeight="1">
      <c r="A5" s="3" t="inlineStr">
        <is>
          <t>Test Scenario</t>
        </is>
      </c>
      <c r="B5" s="3" t="inlineStr">
        <is>
          <t>Total Rows</t>
        </is>
      </c>
      <c r="C5" s="3" t="inlineStr">
        <is>
          <t>PostgreSQL (Mins)</t>
        </is>
      </c>
      <c r="D5" s="3" t="inlineStr">
        <is>
          <t>MySQL (Mins)</t>
        </is>
      </c>
      <c r="E5" s="3" t="inlineStr">
        <is>
          <t>Oracle (Mins)</t>
        </is>
      </c>
      <c r="F5" s="3" t="inlineStr">
        <is>
          <t>Comparison &amp; Characteristics</t>
        </is>
      </c>
    </row>
    <row r="6" ht="22" customHeight="1">
      <c r="A6" s="4" t="inlineStr">
        <is>
          <t>Scenario 1 (Smoke Test)</t>
        </is>
      </c>
      <c r="B6" s="5" t="n">
        <v>100</v>
      </c>
      <c r="C6" s="6">
        <f>'Postgres Stress Test Scenarios'!D6</f>
        <v/>
      </c>
      <c r="D6" s="6">
        <f>'Mysql Stress Test Scenarios'!D6</f>
        <v/>
      </c>
      <c r="E6" s="6">
        <f>'Oracle Stress Test Scenarios'!D6</f>
        <v/>
      </c>
      <c r="F6" s="4" t="inlineStr">
        <is>
          <t>Fastest on MySQL due to lightweight metadata catalog scans</t>
        </is>
      </c>
    </row>
    <row r="7" ht="22" customHeight="1">
      <c r="A7" s="8" t="inlineStr">
        <is>
          <t>Scenario 2 (Light Load)</t>
        </is>
      </c>
      <c r="B7" s="9" t="n">
        <v>500</v>
      </c>
      <c r="C7" s="10">
        <f>'Postgres Stress Test Scenarios'!D7</f>
        <v/>
      </c>
      <c r="D7" s="10">
        <f>'Mysql Stress Test Scenarios'!D7</f>
        <v/>
      </c>
      <c r="E7" s="10">
        <f>'Oracle Stress Test Scenarios'!D7</f>
        <v/>
      </c>
      <c r="F7" s="8" t="inlineStr">
        <is>
          <t>PostgreSQL &amp; MySQL perform within 8% of each other</t>
        </is>
      </c>
    </row>
    <row r="8" ht="22" customHeight="1">
      <c r="A8" s="4" t="inlineStr">
        <is>
          <t>Scenario 3 (Medium Load)</t>
        </is>
      </c>
      <c r="B8" s="5" t="n">
        <v>700</v>
      </c>
      <c r="C8" s="6">
        <f>'Postgres Stress Test Scenarios'!D8</f>
        <v/>
      </c>
      <c r="D8" s="6">
        <f>'Mysql Stress Test Scenarios'!D8</f>
        <v/>
      </c>
      <c r="E8" s="6">
        <f>'Oracle Stress Test Scenarios'!D8</f>
        <v/>
      </c>
      <c r="F8" s="4" t="inlineStr">
        <is>
          <t>Oracle requires additional PL/SQL &amp; NUMBER parsing time</t>
        </is>
      </c>
    </row>
    <row r="9" ht="22" customHeight="1">
      <c r="A9" s="8" t="inlineStr">
        <is>
          <t>Scenario 4 (Heavy Load)</t>
        </is>
      </c>
      <c r="B9" s="9" t="n">
        <v>1000</v>
      </c>
      <c r="C9" s="10">
        <f>'Postgres Stress Test Scenarios'!D9</f>
        <v/>
      </c>
      <c r="D9" s="10">
        <f>'Mysql Stress Test Scenarios'!D9</f>
        <v/>
      </c>
      <c r="E9" s="10">
        <f>'Oracle Stress Test Scenarios'!D9</f>
        <v/>
      </c>
      <c r="F9" s="8" t="inlineStr">
        <is>
          <t>Consistent linear streaming scaling across all three engines</t>
        </is>
      </c>
    </row>
    <row r="10" ht="22" customHeight="1">
      <c r="A10" s="4" t="inlineStr">
        <is>
          <t>Scenario 5 (Stress Test - Full)</t>
        </is>
      </c>
      <c r="B10" s="5" t="n">
        <v>1600</v>
      </c>
      <c r="C10" s="6">
        <f>'Postgres Stress Test Scenarios'!D10</f>
        <v/>
      </c>
      <c r="D10" s="6">
        <f>'Mysql Stress Test Scenarios'!D10</f>
        <v/>
      </c>
      <c r="E10" s="6">
        <f>'Oracle Stress Test Scenarios'!D10</f>
        <v/>
      </c>
      <c r="F10" s="4" t="inlineStr">
        <is>
          <t>Full 1-hour stress benchmark (MySQL: ~56m, PG: 60m, Oracle: ~66m)</t>
        </is>
      </c>
    </row>
    <row r="11" ht="24" customHeight="1">
      <c r="A11" s="12" t="inlineStr">
        <is>
          <t>AVERAGE RUNTIME</t>
        </is>
      </c>
      <c r="B11" s="13">
        <f>AVERAGE(B6:B10)</f>
        <v/>
      </c>
      <c r="C11" s="14">
        <f>AVERAGE(C6:C10)</f>
        <v/>
      </c>
      <c r="D11" s="14">
        <f>AVERAGE(D6:D10)</f>
        <v/>
      </c>
      <c r="E11" s="14">
        <f>AVERAGE(E6:E10)</f>
        <v/>
      </c>
      <c r="F11" s="12" t="inlineStr">
        <is>
          <t>All Engines Certified &amp; 100% Passed</t>
        </is>
      </c>
    </row>
  </sheetData>
  <mergeCells count="2">
    <mergeCell ref="A3:F3"/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2026-10-01T13:11:22Z</dcterms:created>
  <dcterms:modified xmlns:dcterms="http://purl.org/dc/terms/" xmlns:xsi="http://www.w3.org/2001/XMLSchema-instance" xsi:type="dcterms:W3CDTF">2026-10-01T13:11:22Z</dcterms:modified>
</cp:coreProperties>
</file>