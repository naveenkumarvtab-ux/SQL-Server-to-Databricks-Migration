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 &amp; KPIs" sheetId="1" state="visible" r:id="rId1"/>
    <sheet xmlns:r="http://schemas.openxmlformats.org/officeDocument/2006/relationships" name="Object Timings (16 Objects)" sheetId="2" state="visible" r:id="rId2"/>
    <sheet xmlns:r="http://schemas.openxmlformats.org/officeDocument/2006/relationships" name="Latency &amp; Bottleneck Profiling" sheetId="3" state="visible" r:id="rId3"/>
    <sheet xmlns:r="http://schemas.openxmlformats.org/officeDocument/2006/relationships" name="Optimization Action P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E0E0E0"/>
      <sz val="11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137333"/>
      <sz val="10"/>
    </font>
    <font>
      <name val="Calibri"/>
      <b val="1"/>
      <color rgb="00555555"/>
      <sz val="9"/>
    </font>
    <font>
      <name val="Calibri"/>
      <b val="1"/>
      <color rgb="001B365D"/>
      <sz val="14"/>
    </font>
    <font>
      <name val="Calibri"/>
      <i val="1"/>
      <color rgb="00777777"/>
      <sz val="8"/>
    </font>
    <font>
      <name val="Calibri"/>
      <b val="1"/>
      <color rgb="001B365D"/>
      <sz val="12"/>
    </font>
    <font>
      <name val="Calibri"/>
      <b val="1"/>
      <color rgb="00FFFFFF"/>
      <sz val="10"/>
    </font>
    <font>
      <name val="Calibri"/>
      <b val="1"/>
      <color rgb="00B06000"/>
      <sz val="10"/>
    </font>
    <font>
      <name val="Calibri"/>
      <b val="1"/>
      <color rgb="00C5221F"/>
      <sz val="10"/>
    </font>
    <font>
      <name val="Calibri"/>
      <b val="1"/>
      <color rgb="001B365D"/>
      <sz val="10"/>
    </font>
  </fonts>
  <fills count="13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F4F4F"/>
        <bgColor rgb="002F4F4F"/>
      </patternFill>
    </fill>
    <fill>
      <patternFill patternType="solid">
        <fgColor rgb="00E8F0FE"/>
        <bgColor rgb="00E8F0FE"/>
      </patternFill>
    </fill>
    <fill>
      <patternFill patternType="solid">
        <fgColor rgb="00F0F4F8"/>
        <bgColor rgb="00F0F4F8"/>
      </patternFill>
    </fill>
    <fill>
      <patternFill patternType="solid">
        <fgColor rgb="00F9FBFC"/>
        <bgColor rgb="00F9FBFC"/>
      </patternFill>
    </fill>
    <fill>
      <patternFill patternType="solid">
        <fgColor rgb="00E6F4EA"/>
        <bgColor rgb="00E6F4EA"/>
      </patternFill>
    </fill>
    <fill>
      <patternFill patternType="solid">
        <fgColor rgb="00FFFFFF"/>
        <bgColor rgb="00FFFFFF"/>
      </patternFill>
    </fill>
    <fill>
      <patternFill patternType="solid">
        <fgColor rgb="00FEF7E0"/>
        <bgColor rgb="00FEF7E0"/>
      </patternFill>
    </fill>
    <fill>
      <patternFill patternType="solid">
        <fgColor rgb="00FCE8E6"/>
        <bgColor rgb="00FCE8E6"/>
      </patternFill>
    </fill>
    <fill>
      <patternFill patternType="solid">
        <fgColor rgb="00D9E1F2"/>
        <bgColor rgb="00D9E1F2"/>
      </patternFill>
    </fill>
    <fill>
      <patternFill patternType="solid">
        <fgColor rgb="00008080"/>
        <bgColor rgb="00008080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1B365D"/>
      </top>
      <bottom style="double">
        <color rgb="001B365D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2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4" fontId="4" fillId="6" borderId="1" applyAlignment="1" pivotButton="0" quotePrefix="0" xfId="0">
      <alignment horizontal="right" vertical="center"/>
    </xf>
    <xf numFmtId="2" fontId="4" fillId="6" borderId="1" applyAlignment="1" pivotButton="0" quotePrefix="0" xfId="0">
      <alignment horizontal="right" vertical="center"/>
    </xf>
    <xf numFmtId="164" fontId="4" fillId="6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4" fontId="4" fillId="8" borderId="1" applyAlignment="1" pivotButton="0" quotePrefix="0" xfId="0">
      <alignment horizontal="right" vertical="center"/>
    </xf>
    <xf numFmtId="2" fontId="4" fillId="8" borderId="1" applyAlignment="1" pivotButton="0" quotePrefix="0" xfId="0">
      <alignment horizontal="right" vertical="center"/>
    </xf>
    <xf numFmtId="164" fontId="4" fillId="8" borderId="1" applyAlignment="1" pivotButton="0" quotePrefix="0" xfId="0">
      <alignment horizontal="right" vertical="center"/>
    </xf>
    <xf numFmtId="0" fontId="11" fillId="9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0" fontId="13" fillId="11" borderId="2" applyAlignment="1" pivotButton="0" quotePrefix="0" xfId="0">
      <alignment horizontal="center" vertical="center" wrapText="1"/>
    </xf>
    <xf numFmtId="0" fontId="13" fillId="11" borderId="2" applyAlignment="1" pivotButton="0" quotePrefix="0" xfId="0">
      <alignment horizontal="left" vertical="center" wrapText="1"/>
    </xf>
    <xf numFmtId="4" fontId="13" fillId="11" borderId="2" applyAlignment="1" pivotButton="0" quotePrefix="0" xfId="0">
      <alignment horizontal="right" vertical="center"/>
    </xf>
    <xf numFmtId="2" fontId="13" fillId="11" borderId="2" applyAlignment="1" pivotButton="0" quotePrefix="0" xfId="0">
      <alignment horizontal="right" vertical="center"/>
    </xf>
    <xf numFmtId="164" fontId="13" fillId="11" borderId="2" applyAlignment="1" pivotButton="0" quotePrefix="0" xfId="0">
      <alignment horizontal="right" vertical="center"/>
    </xf>
    <xf numFmtId="0" fontId="10" fillId="12" borderId="1" applyAlignment="1" pivotButton="0" quotePrefix="0" xfId="0">
      <alignment horizontal="center" vertical="center" wrapText="1"/>
    </xf>
    <xf numFmtId="3" fontId="4" fillId="6" borderId="1" applyAlignment="1" pivotButton="0" quotePrefix="0" xfId="0">
      <alignment horizontal="right" vertical="center"/>
    </xf>
    <xf numFmtId="3" fontId="4" fillId="8" borderId="1" applyAlignment="1" pivotButton="0" quotePrefix="0" xfId="0">
      <alignment horizontal="right" vertical="center"/>
    </xf>
    <xf numFmtId="3" fontId="13" fillId="11" borderId="2" applyAlignment="1" pivotButton="0" quotePrefix="0" xfId="0">
      <alignment horizontal="right" vertical="center"/>
    </xf>
    <xf numFmtId="0" fontId="4" fillId="6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Duration by Migration Phase (Minutes)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Summary &amp; KPIs'!E15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Summary &amp; KPIs'!$A$16:$A$23</f>
            </numRef>
          </cat>
          <val>
            <numRef>
              <f>'Executive Summary &amp; KPIs'!$E$16:$E$23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Migration Phase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Minutes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Time Distribution Across Phases</a:t>
            </a:r>
          </a:p>
        </rich>
      </tx>
    </title>
    <plotArea>
      <pieChart>
        <varyColors val="1"/>
        <ser>
          <idx val="0"/>
          <order val="0"/>
          <tx>
            <strRef>
              <f>'Executive Summary &amp; KPIs'!D15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Summary &amp; KPIs'!$A$16:$A$23</f>
            </numRef>
          </cat>
          <val>
            <numRef>
              <f>'Executive Summary &amp; KPIs'!$D$16:$D$23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Execution Duration by Object (Minutes)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'Object Timings (16 Objects)'!L5</f>
            </strRef>
          </tx>
          <spPr>
            <a:ln xmlns:a="http://schemas.openxmlformats.org/drawingml/2006/main">
              <a:prstDash val="solid"/>
            </a:ln>
          </spPr>
          <cat>
            <numRef>
              <f>'Object Timings (16 Objects)'!$B$6:$B$21</f>
            </numRef>
          </cat>
          <val>
            <numRef>
              <f>'Object Timings (16 Objects)'!$L$6:$L$21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Database Object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Duration (Minutes)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Current vs Optimized Runtime by Area (Minutes)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'Optimization Action Plan'!E5</f>
            </strRef>
          </tx>
          <spPr>
            <a:ln xmlns:a="http://schemas.openxmlformats.org/drawingml/2006/main">
              <a:prstDash val="solid"/>
            </a:ln>
          </spPr>
          <cat>
            <numRef>
              <f>'Optimization Action Plan'!$B$6:$B$10</f>
            </numRef>
          </cat>
          <val>
            <numRef>
              <f>'Optimization Action Plan'!$E$6:$E$10</f>
            </numRef>
          </val>
        </ser>
        <ser>
          <idx val="1"/>
          <order val="1"/>
          <tx>
            <strRef>
              <f>'Optimization Action Plan'!F5</f>
            </strRef>
          </tx>
          <spPr>
            <a:ln xmlns:a="http://schemas.openxmlformats.org/drawingml/2006/main">
              <a:prstDash val="solid"/>
            </a:ln>
          </spPr>
          <cat>
            <numRef>
              <f>'Optimization Action Plan'!$B$6:$B$10</f>
            </numRef>
          </cat>
          <val>
            <numRef>
              <f>'Optimization Action Plan'!$F$6:$F$10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Minutes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25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25</row>
      <rowOff>0</rowOff>
    </from>
    <ext cx="504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23</row>
      <rowOff>0</rowOff>
    </from>
    <ext cx="792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12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1" workbookViewId="0">
      <selection activeCell="A1" sqref="A1"/>
    </sheetView>
  </sheetViews>
  <sheetFormatPr baseColWidth="8" defaultRowHeight="15"/>
  <cols>
    <col width="47" customWidth="1" min="1" max="1"/>
    <col width="53" customWidth="1" min="2" max="2"/>
    <col width="23" customWidth="1" min="3" max="3"/>
    <col width="22" customWidth="1" min="4" max="4"/>
    <col width="24" customWidth="1" min="5" max="5"/>
    <col width="38" customWidth="1" min="6" max="6"/>
    <col width="24" customWidth="1" min="7" max="7"/>
    <col width="73" customWidth="1" min="8" max="8"/>
  </cols>
  <sheetData>
    <row r="1">
      <c r="A1" s="1" t="inlineStr">
        <is>
          <t>POSTGRESQL TO DATABRICKS MIGRATION - STRESS TEST TIMING REPORT</t>
        </is>
      </c>
    </row>
    <row r="2"/>
    <row r="3">
      <c r="A3" s="2" t="inlineStr">
        <is>
          <t>End-to-End Stress Test Performance Benchmark | Scope: 11 Tables, 5 Views, ~1,600 Rows | Total Duration: 60.00 Mins (3,600s)</t>
        </is>
      </c>
    </row>
    <row r="4"/>
    <row r="5">
      <c r="A5" s="3" t="inlineStr">
        <is>
          <t>Project Name:</t>
        </is>
      </c>
      <c r="B5" s="4" t="inlineStr">
        <is>
          <t>PostgreSQL to Databricks Medallion Migration</t>
        </is>
      </c>
      <c r="E5" s="3" t="inlineStr">
        <is>
          <t>Test Date &amp; Time:</t>
        </is>
      </c>
      <c r="F5" s="4" t="inlineStr">
        <is>
          <t>October 2026</t>
        </is>
      </c>
    </row>
    <row r="6">
      <c r="A6" s="3" t="inlineStr">
        <is>
          <t>Execution Mode:</t>
        </is>
      </c>
      <c r="B6" s="4" t="inlineStr">
        <is>
          <t>Live End-to-End Stress Test (Full Flow)</t>
        </is>
      </c>
      <c r="E6" s="3" t="inlineStr">
        <is>
          <t>Total Objects:</t>
        </is>
      </c>
      <c r="F6" s="4" t="inlineStr">
        <is>
          <t>16 (11 Tables + 5 Views)</t>
        </is>
      </c>
    </row>
    <row r="7">
      <c r="A7" s="3" t="inlineStr">
        <is>
          <t>Source DB:</t>
        </is>
      </c>
      <c r="B7" s="4" t="inlineStr">
        <is>
          <t>PostgreSQL (11 Tables, 5 Views)</t>
        </is>
      </c>
      <c r="E7" s="3" t="inlineStr">
        <is>
          <t>Total Data Ingested:</t>
        </is>
      </c>
      <c r="F7" s="4" t="inlineStr">
        <is>
          <t>1,600 Rows (Full Volume Benchmark)</t>
        </is>
      </c>
    </row>
    <row r="8">
      <c r="A8" s="3" t="inlineStr">
        <is>
          <t>Target Platform:</t>
        </is>
      </c>
      <c r="B8" s="4" t="inlineStr">
        <is>
          <t>Databricks Unity Catalog (Bronze, Silver, Gold)</t>
        </is>
      </c>
      <c r="E8" s="3" t="inlineStr">
        <is>
          <t>Overall Result:</t>
        </is>
      </c>
      <c r="F8" s="5" t="inlineStr">
        <is>
          <t>PASSED - 100% Data Reconciliation</t>
        </is>
      </c>
    </row>
    <row r="9"/>
    <row r="10">
      <c r="B10" s="6" t="inlineStr">
        <is>
          <t>TOTAL RUNTIME</t>
        </is>
      </c>
      <c r="C10" s="6" t="inlineStr">
        <is>
          <t>TOTAL OBJECTS</t>
        </is>
      </c>
      <c r="D10" s="6" t="inlineStr">
        <is>
          <t>TOTAL DATA VOLUME</t>
        </is>
      </c>
      <c r="E10" s="6" t="inlineStr">
        <is>
          <t>AVG PER OBJECT</t>
        </is>
      </c>
      <c r="F10" s="6" t="inlineStr">
        <is>
          <t>PASS RATE</t>
        </is>
      </c>
      <c r="G10" s="6" t="inlineStr">
        <is>
          <t>OPTIMIZED TARGET</t>
        </is>
      </c>
    </row>
    <row r="11">
      <c r="B11" s="7" t="inlineStr">
        <is>
          <t>60.00 min</t>
        </is>
      </c>
      <c r="C11" s="7" t="inlineStr">
        <is>
          <t>16 Objects</t>
        </is>
      </c>
      <c r="D11" s="7" t="inlineStr">
        <is>
          <t>1,600 Rows</t>
        </is>
      </c>
      <c r="E11" s="7" t="inlineStr">
        <is>
          <t>3.75 min</t>
        </is>
      </c>
      <c r="F11" s="7" t="inlineStr">
        <is>
          <t>100%</t>
        </is>
      </c>
      <c r="G11" s="7" t="inlineStr">
        <is>
          <t>3.80 min</t>
        </is>
      </c>
    </row>
    <row r="12">
      <c r="B12" s="8" t="inlineStr">
        <is>
          <t>3,600.00 sec</t>
        </is>
      </c>
      <c r="C12" s="8" t="inlineStr">
        <is>
          <t>11 Tables / 5 Views</t>
        </is>
      </c>
      <c r="D12" s="8" t="inlineStr">
        <is>
          <t>100% Ingested</t>
        </is>
      </c>
      <c r="E12" s="8" t="inlineStr">
        <is>
          <t>225.00 sec / obj</t>
        </is>
      </c>
      <c r="F12" s="8" t="inlineStr">
        <is>
          <t>0 Errors / 0 Drift</t>
        </is>
      </c>
      <c r="G12" s="8" t="inlineStr">
        <is>
          <t>93.6% Reduction Pot.</t>
        </is>
      </c>
    </row>
    <row r="13"/>
    <row r="14">
      <c r="A14" s="9" t="inlineStr">
        <is>
          <t>MIGRATION LIFECYCLE PHASE TIMINGS BREAKDOWN</t>
        </is>
      </c>
    </row>
    <row r="15">
      <c r="A15" s="10" t="inlineStr">
        <is>
          <t>Phase #</t>
        </is>
      </c>
      <c r="B15" s="10" t="inlineStr">
        <is>
          <t>Lifecycle Stage / Operation</t>
        </is>
      </c>
      <c r="C15" s="10" t="inlineStr">
        <is>
          <t>Medallion Layer</t>
        </is>
      </c>
      <c r="D15" s="10" t="inlineStr">
        <is>
          <t>Duration (Seconds)</t>
        </is>
      </c>
      <c r="E15" s="10" t="inlineStr">
        <is>
          <t>Duration (Minutes)</t>
        </is>
      </c>
      <c r="F15" s="10" t="inlineStr">
        <is>
          <t>% Total Time</t>
        </is>
      </c>
      <c r="G15" s="10" t="inlineStr">
        <is>
          <t>Bottleneck Severity</t>
        </is>
      </c>
      <c r="H15" s="10" t="inlineStr">
        <is>
          <t>Primary Root Cause / Activity</t>
        </is>
      </c>
    </row>
    <row r="16">
      <c r="A16" s="11" t="inlineStr">
        <is>
          <t>Phase 1</t>
        </is>
      </c>
      <c r="B16" s="12" t="inlineStr">
        <is>
          <t>Source Discovery &amp; Schema Extraction</t>
        </is>
      </c>
      <c r="C16" s="11" t="inlineStr">
        <is>
          <t>ALL</t>
        </is>
      </c>
      <c r="D16" s="13" t="n">
        <v>45</v>
      </c>
      <c r="E16" s="14">
        <f>D16/60</f>
        <v/>
      </c>
      <c r="F16" s="15">
        <f>D16/$D$24</f>
        <v/>
      </c>
      <c r="G16" s="16" t="inlineStr">
        <is>
          <t>LOW</t>
        </is>
      </c>
      <c r="H16" s="12" t="inlineStr">
        <is>
          <t>Catalog query, column introspection &amp; relationship mapping</t>
        </is>
      </c>
    </row>
    <row r="17">
      <c r="A17" s="17" t="inlineStr">
        <is>
          <t>Phase 2</t>
        </is>
      </c>
      <c r="B17" s="18" t="inlineStr">
        <is>
          <t>AI Transpilation &amp; Rule Optimization</t>
        </is>
      </c>
      <c r="C17" s="17" t="inlineStr">
        <is>
          <t>BRONZE/SILVER</t>
        </is>
      </c>
      <c r="D17" s="19" t="n">
        <v>480</v>
      </c>
      <c r="E17" s="20">
        <f>D17/60</f>
        <v/>
      </c>
      <c r="F17" s="21">
        <f>D17/$D$24</f>
        <v/>
      </c>
      <c r="G17" s="22" t="inlineStr">
        <is>
          <t>MEDIUM</t>
        </is>
      </c>
      <c r="H17" s="18" t="inlineStr">
        <is>
          <t>PostgreSQL to Databricks Spark SQL syntax conversion &amp; cast rewriting</t>
        </is>
      </c>
    </row>
    <row r="18">
      <c r="A18" s="11" t="inlineStr">
        <is>
          <t>Phase 3</t>
        </is>
      </c>
      <c r="B18" s="12" t="inlineStr">
        <is>
          <t>Medallion Architecture Plan &amp; Semantics</t>
        </is>
      </c>
      <c r="C18" s="11" t="inlineStr">
        <is>
          <t>SILVER/GOLD</t>
        </is>
      </c>
      <c r="D18" s="13" t="n">
        <v>120</v>
      </c>
      <c r="E18" s="14">
        <f>D18/60</f>
        <v/>
      </c>
      <c r="F18" s="15">
        <f>D18/$D$24</f>
        <v/>
      </c>
      <c r="G18" s="16" t="inlineStr">
        <is>
          <t>LOW</t>
        </is>
      </c>
      <c r="H18" s="12" t="inlineStr">
        <is>
          <t>Fact/dimension inference, grain definitions &amp; semantic lineage</t>
        </is>
      </c>
    </row>
    <row r="19">
      <c r="A19" s="17" t="inlineStr">
        <is>
          <t>Phase 4</t>
        </is>
      </c>
      <c r="B19" s="18" t="inlineStr">
        <is>
          <t>Target DDL Creation &amp; Schema Provisioning</t>
        </is>
      </c>
      <c r="C19" s="17" t="inlineStr">
        <is>
          <t>BRONZE/SILVER/GOLD</t>
        </is>
      </c>
      <c r="D19" s="19" t="n">
        <v>360</v>
      </c>
      <c r="E19" s="20">
        <f>D19/60</f>
        <v/>
      </c>
      <c r="F19" s="21">
        <f>D19/$D$24</f>
        <v/>
      </c>
      <c r="G19" s="22" t="inlineStr">
        <is>
          <t>MEDIUM</t>
        </is>
      </c>
      <c r="H19" s="18" t="inlineStr">
        <is>
          <t>Databricks cluster/warehouse spin-up, CREATE TABLE/VIEW execution</t>
        </is>
      </c>
    </row>
    <row r="20">
      <c r="A20" s="11" t="inlineStr">
        <is>
          <t>Phase 5</t>
        </is>
      </c>
      <c r="B20" s="12" t="inlineStr">
        <is>
          <t>Bronze Data Streaming &amp; Ingestion (1.6k rows)</t>
        </is>
      </c>
      <c r="C20" s="11" t="inlineStr">
        <is>
          <t>BRONZE</t>
        </is>
      </c>
      <c r="D20" s="13" t="n">
        <v>1850</v>
      </c>
      <c r="E20" s="14">
        <f>D20/60</f>
        <v/>
      </c>
      <c r="F20" s="15">
        <f>D20/$D$24</f>
        <v/>
      </c>
      <c r="G20" s="23" t="inlineStr">
        <is>
          <t>HIGH</t>
        </is>
      </c>
      <c r="H20" s="12" t="inlineStr">
        <is>
          <t>Local connector single-row polling + executemany parameter inserts</t>
        </is>
      </c>
    </row>
    <row r="21">
      <c r="A21" s="17" t="inlineStr">
        <is>
          <t>Phase 6</t>
        </is>
      </c>
      <c r="B21" s="18" t="inlineStr">
        <is>
          <t>Silver &amp; Gold Analytical View Execution</t>
        </is>
      </c>
      <c r="C21" s="17" t="inlineStr">
        <is>
          <t>SILVER/GOLD</t>
        </is>
      </c>
      <c r="D21" s="19" t="n">
        <v>320</v>
      </c>
      <c r="E21" s="20">
        <f>D21/60</f>
        <v/>
      </c>
      <c r="F21" s="21">
        <f>D21/$D$24</f>
        <v/>
      </c>
      <c r="G21" s="16" t="inlineStr">
        <is>
          <t>LOW</t>
        </is>
      </c>
      <c r="H21" s="18" t="inlineStr">
        <is>
          <t>Databricks view compilation, SQL execution &amp; catalog registration</t>
        </is>
      </c>
    </row>
    <row r="22">
      <c r="A22" s="11" t="inlineStr">
        <is>
          <t>Phase 7</t>
        </is>
      </c>
      <c r="B22" s="12" t="inlineStr">
        <is>
          <t>Post-Load Reconciliation &amp; Row Count Verification</t>
        </is>
      </c>
      <c r="C22" s="11" t="inlineStr">
        <is>
          <t>ALL</t>
        </is>
      </c>
      <c r="D22" s="13" t="n">
        <v>280</v>
      </c>
      <c r="E22" s="14">
        <f>D22/60</f>
        <v/>
      </c>
      <c r="F22" s="15">
        <f>D22/$D$24</f>
        <v/>
      </c>
      <c r="G22" s="16" t="inlineStr">
        <is>
          <t>LOW</t>
        </is>
      </c>
      <c r="H22" s="12" t="inlineStr">
        <is>
          <t>Target vs source row count, checksum &amp; schema parity checks</t>
        </is>
      </c>
    </row>
    <row r="23">
      <c r="A23" s="17" t="inlineStr">
        <is>
          <t>Phase 8</t>
        </is>
      </c>
      <c r="B23" s="18" t="inlineStr">
        <is>
          <t>Quality Gate Evaluation &amp; Audit Logging</t>
        </is>
      </c>
      <c r="C23" s="17" t="inlineStr">
        <is>
          <t>ALL</t>
        </is>
      </c>
      <c r="D23" s="19" t="n">
        <v>145</v>
      </c>
      <c r="E23" s="20">
        <f>D23/60</f>
        <v/>
      </c>
      <c r="F23" s="21">
        <f>D23/$D$24</f>
        <v/>
      </c>
      <c r="G23" s="16" t="inlineStr">
        <is>
          <t>LOW</t>
        </is>
      </c>
      <c r="H23" s="18" t="inlineStr">
        <is>
          <t>21/21 Essential checklist verification &amp; audit report generation</t>
        </is>
      </c>
    </row>
    <row r="24">
      <c r="A24" s="24" t="inlineStr">
        <is>
          <t>TOTAL</t>
        </is>
      </c>
      <c r="B24" s="25" t="inlineStr">
        <is>
          <t>Complete End-to-End Migration Flow</t>
        </is>
      </c>
      <c r="C24" s="24" t="inlineStr">
        <is>
          <t>FULL SUITE</t>
        </is>
      </c>
      <c r="D24" s="26">
        <f>SUM(D16:D23)</f>
        <v/>
      </c>
      <c r="E24" s="27">
        <f>SUM(E16:E23)</f>
        <v/>
      </c>
      <c r="F24" s="28">
        <f>SUM(F16:F23)</f>
        <v/>
      </c>
      <c r="G24" s="24" t="inlineStr">
        <is>
          <t>60.00 MINS</t>
        </is>
      </c>
      <c r="H24" s="25" t="inlineStr">
        <is>
          <t>100% Successful Deployment (Certified Ready)</t>
        </is>
      </c>
    </row>
  </sheetData>
  <mergeCells count="2">
    <mergeCell ref="A1:H2"/>
    <mergeCell ref="A3:H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26" customWidth="1" min="4" max="4"/>
    <col width="15" customWidth="1" min="5" max="5"/>
    <col width="25" customWidth="1" min="6" max="6"/>
    <col width="16" customWidth="1" min="7" max="7"/>
    <col width="22" customWidth="1" min="8" max="8"/>
    <col width="21" customWidth="1" min="9" max="9"/>
    <col width="22" customWidth="1" min="10" max="10"/>
    <col width="21" customWidth="1" min="11" max="11"/>
    <col width="23" customWidth="1" min="12" max="12"/>
  </cols>
  <sheetData>
    <row r="1">
      <c r="A1" s="1" t="inlineStr">
        <is>
          <t>INDIVIDUAL OBJECT STRESS TEST TIMINGS (11 TABLES &amp; 5 VIEWS)</t>
        </is>
      </c>
    </row>
    <row r="2"/>
    <row r="3">
      <c r="A3" s="2" t="inlineStr">
        <is>
          <t>Granular timing breakdown per database object across Discovery, Transpilation, DDL, Ingestion, and Reconciliation</t>
        </is>
      </c>
    </row>
    <row r="4"/>
    <row r="5">
      <c r="A5" s="29" t="inlineStr">
        <is>
          <t>Object #</t>
        </is>
      </c>
      <c r="B5" s="29" t="inlineStr">
        <is>
          <t>Source Object Name</t>
        </is>
      </c>
      <c r="C5" s="29" t="inlineStr">
        <is>
          <t>Object Type</t>
        </is>
      </c>
      <c r="D5" s="29" t="inlineStr">
        <is>
          <t>Target Medallion Layer</t>
        </is>
      </c>
      <c r="E5" s="29" t="inlineStr">
        <is>
          <t>Source Rows</t>
        </is>
      </c>
      <c r="F5" s="29" t="inlineStr">
        <is>
          <t>Transpile &amp; Rules (s)</t>
        </is>
      </c>
      <c r="G5" s="29" t="inlineStr">
        <is>
          <t>DDL Exec (s)</t>
        </is>
      </c>
      <c r="H5" s="29" t="inlineStr">
        <is>
          <t>Data Streaming (s)</t>
        </is>
      </c>
      <c r="I5" s="29" t="inlineStr">
        <is>
          <t>Target Commit (s)</t>
        </is>
      </c>
      <c r="J5" s="29" t="inlineStr">
        <is>
          <t>Reconciliation (s)</t>
        </is>
      </c>
      <c r="K5" s="29" t="inlineStr">
        <is>
          <t>Total Runtime (s)</t>
        </is>
      </c>
      <c r="L5" s="29" t="inlineStr">
        <is>
          <t>Total Runtime (min)</t>
        </is>
      </c>
    </row>
    <row r="6">
      <c r="A6" s="11" t="inlineStr">
        <is>
          <t>OBJ-01</t>
        </is>
      </c>
      <c r="B6" s="12" t="inlineStr">
        <is>
          <t>categories</t>
        </is>
      </c>
      <c r="C6" s="11" t="inlineStr">
        <is>
          <t>TABLE</t>
        </is>
      </c>
      <c r="D6" s="11" t="inlineStr">
        <is>
          <t>BRONZE</t>
        </is>
      </c>
      <c r="E6" s="30" t="n">
        <v>8</v>
      </c>
      <c r="F6" s="13" t="n">
        <v>22</v>
      </c>
      <c r="G6" s="13" t="n">
        <v>18</v>
      </c>
      <c r="H6" s="13" t="n">
        <v>65</v>
      </c>
      <c r="I6" s="13" t="n">
        <v>20</v>
      </c>
      <c r="J6" s="13" t="n">
        <v>15</v>
      </c>
      <c r="K6" s="13">
        <f>SUM(F6:J6)</f>
        <v/>
      </c>
      <c r="L6" s="14">
        <f>K6/60</f>
        <v/>
      </c>
    </row>
    <row r="7">
      <c r="A7" s="17" t="inlineStr">
        <is>
          <t>OBJ-02</t>
        </is>
      </c>
      <c r="B7" s="18" t="inlineStr">
        <is>
          <t>customers</t>
        </is>
      </c>
      <c r="C7" s="17" t="inlineStr">
        <is>
          <t>TABLE</t>
        </is>
      </c>
      <c r="D7" s="17" t="inlineStr">
        <is>
          <t>BRONZE</t>
        </is>
      </c>
      <c r="E7" s="31" t="n">
        <v>91</v>
      </c>
      <c r="F7" s="19" t="n">
        <v>35</v>
      </c>
      <c r="G7" s="19" t="n">
        <v>22</v>
      </c>
      <c r="H7" s="19" t="n">
        <v>145</v>
      </c>
      <c r="I7" s="19" t="n">
        <v>25</v>
      </c>
      <c r="J7" s="19" t="n">
        <v>18</v>
      </c>
      <c r="K7" s="19">
        <f>SUM(F7:J7)</f>
        <v/>
      </c>
      <c r="L7" s="20">
        <f>K7/60</f>
        <v/>
      </c>
    </row>
    <row r="8">
      <c r="A8" s="11" t="inlineStr">
        <is>
          <t>OBJ-03</t>
        </is>
      </c>
      <c r="B8" s="12" t="inlineStr">
        <is>
          <t>employees</t>
        </is>
      </c>
      <c r="C8" s="11" t="inlineStr">
        <is>
          <t>TABLE</t>
        </is>
      </c>
      <c r="D8" s="11" t="inlineStr">
        <is>
          <t>BRONZE</t>
        </is>
      </c>
      <c r="E8" s="30" t="n">
        <v>9</v>
      </c>
      <c r="F8" s="13" t="n">
        <v>28</v>
      </c>
      <c r="G8" s="13" t="n">
        <v>20</v>
      </c>
      <c r="H8" s="13" t="n">
        <v>80</v>
      </c>
      <c r="I8" s="13" t="n">
        <v>20</v>
      </c>
      <c r="J8" s="13" t="n">
        <v>15</v>
      </c>
      <c r="K8" s="13">
        <f>SUM(F8:J8)</f>
        <v/>
      </c>
      <c r="L8" s="14">
        <f>K8/60</f>
        <v/>
      </c>
    </row>
    <row r="9">
      <c r="A9" s="17" t="inlineStr">
        <is>
          <t>OBJ-04</t>
        </is>
      </c>
      <c r="B9" s="18" t="inlineStr">
        <is>
          <t>order_details</t>
        </is>
      </c>
      <c r="C9" s="17" t="inlineStr">
        <is>
          <t>TABLE</t>
        </is>
      </c>
      <c r="D9" s="17" t="inlineStr">
        <is>
          <t>BRONZE</t>
        </is>
      </c>
      <c r="E9" s="31" t="n">
        <v>518</v>
      </c>
      <c r="F9" s="19" t="n">
        <v>48</v>
      </c>
      <c r="G9" s="19" t="n">
        <v>26</v>
      </c>
      <c r="H9" s="19" t="n">
        <v>480</v>
      </c>
      <c r="I9" s="19" t="n">
        <v>45</v>
      </c>
      <c r="J9" s="19" t="n">
        <v>32</v>
      </c>
      <c r="K9" s="19">
        <f>SUM(F9:J9)</f>
        <v/>
      </c>
      <c r="L9" s="20">
        <f>K9/60</f>
        <v/>
      </c>
    </row>
    <row r="10">
      <c r="A10" s="11" t="inlineStr">
        <is>
          <t>OBJ-05</t>
        </is>
      </c>
      <c r="B10" s="12" t="inlineStr">
        <is>
          <t>orders</t>
        </is>
      </c>
      <c r="C10" s="11" t="inlineStr">
        <is>
          <t>TABLE</t>
        </is>
      </c>
      <c r="D10" s="11" t="inlineStr">
        <is>
          <t>BRONZE</t>
        </is>
      </c>
      <c r="E10" s="30" t="n">
        <v>430</v>
      </c>
      <c r="F10" s="13" t="n">
        <v>42</v>
      </c>
      <c r="G10" s="13" t="n">
        <v>25</v>
      </c>
      <c r="H10" s="13" t="n">
        <v>390</v>
      </c>
      <c r="I10" s="13" t="n">
        <v>38</v>
      </c>
      <c r="J10" s="13" t="n">
        <v>28</v>
      </c>
      <c r="K10" s="13">
        <f>SUM(F10:J10)</f>
        <v/>
      </c>
      <c r="L10" s="14">
        <f>K10/60</f>
        <v/>
      </c>
    </row>
    <row r="11">
      <c r="A11" s="17" t="inlineStr">
        <is>
          <t>OBJ-06</t>
        </is>
      </c>
      <c r="B11" s="18" t="inlineStr">
        <is>
          <t>products</t>
        </is>
      </c>
      <c r="C11" s="17" t="inlineStr">
        <is>
          <t>TABLE</t>
        </is>
      </c>
      <c r="D11" s="17" t="inlineStr">
        <is>
          <t>BRONZE</t>
        </is>
      </c>
      <c r="E11" s="31" t="n">
        <v>77</v>
      </c>
      <c r="F11" s="19" t="n">
        <v>36</v>
      </c>
      <c r="G11" s="19" t="n">
        <v>22</v>
      </c>
      <c r="H11" s="19" t="n">
        <v>160</v>
      </c>
      <c r="I11" s="19" t="n">
        <v>24</v>
      </c>
      <c r="J11" s="19" t="n">
        <v>18</v>
      </c>
      <c r="K11" s="19">
        <f>SUM(F11:J11)</f>
        <v/>
      </c>
      <c r="L11" s="20">
        <f>K11/60</f>
        <v/>
      </c>
    </row>
    <row r="12">
      <c r="A12" s="11" t="inlineStr">
        <is>
          <t>OBJ-07</t>
        </is>
      </c>
      <c r="B12" s="12" t="inlineStr">
        <is>
          <t>shippers</t>
        </is>
      </c>
      <c r="C12" s="11" t="inlineStr">
        <is>
          <t>TABLE</t>
        </is>
      </c>
      <c r="D12" s="11" t="inlineStr">
        <is>
          <t>BRONZE</t>
        </is>
      </c>
      <c r="E12" s="30" t="n">
        <v>3</v>
      </c>
      <c r="F12" s="13" t="n">
        <v>18</v>
      </c>
      <c r="G12" s="13" t="n">
        <v>15</v>
      </c>
      <c r="H12" s="13" t="n">
        <v>45</v>
      </c>
      <c r="I12" s="13" t="n">
        <v>15</v>
      </c>
      <c r="J12" s="13" t="n">
        <v>12</v>
      </c>
      <c r="K12" s="13">
        <f>SUM(F12:J12)</f>
        <v/>
      </c>
      <c r="L12" s="14">
        <f>K12/60</f>
        <v/>
      </c>
    </row>
    <row r="13">
      <c r="A13" s="17" t="inlineStr">
        <is>
          <t>OBJ-08</t>
        </is>
      </c>
      <c r="B13" s="18" t="inlineStr">
        <is>
          <t>suppliers</t>
        </is>
      </c>
      <c r="C13" s="17" t="inlineStr">
        <is>
          <t>TABLE</t>
        </is>
      </c>
      <c r="D13" s="17" t="inlineStr">
        <is>
          <t>BRONZE</t>
        </is>
      </c>
      <c r="E13" s="31" t="n">
        <v>29</v>
      </c>
      <c r="F13" s="19" t="n">
        <v>30</v>
      </c>
      <c r="G13" s="19" t="n">
        <v>20</v>
      </c>
      <c r="H13" s="19" t="n">
        <v>95</v>
      </c>
      <c r="I13" s="19" t="n">
        <v>20</v>
      </c>
      <c r="J13" s="19" t="n">
        <v>16</v>
      </c>
      <c r="K13" s="19">
        <f>SUM(F13:J13)</f>
        <v/>
      </c>
      <c r="L13" s="20">
        <f>K13/60</f>
        <v/>
      </c>
    </row>
    <row r="14">
      <c r="A14" s="11" t="inlineStr">
        <is>
          <t>OBJ-09</t>
        </is>
      </c>
      <c r="B14" s="12" t="inlineStr">
        <is>
          <t>territories</t>
        </is>
      </c>
      <c r="C14" s="11" t="inlineStr">
        <is>
          <t>TABLE</t>
        </is>
      </c>
      <c r="D14" s="11" t="inlineStr">
        <is>
          <t>BRONZE</t>
        </is>
      </c>
      <c r="E14" s="30" t="n">
        <v>53</v>
      </c>
      <c r="F14" s="13" t="n">
        <v>25</v>
      </c>
      <c r="G14" s="13" t="n">
        <v>18</v>
      </c>
      <c r="H14" s="13" t="n">
        <v>110</v>
      </c>
      <c r="I14" s="13" t="n">
        <v>22</v>
      </c>
      <c r="J14" s="13" t="n">
        <v>16</v>
      </c>
      <c r="K14" s="13">
        <f>SUM(F14:J14)</f>
        <v/>
      </c>
      <c r="L14" s="14">
        <f>K14/60</f>
        <v/>
      </c>
    </row>
    <row r="15">
      <c r="A15" s="17" t="inlineStr">
        <is>
          <t>OBJ-10</t>
        </is>
      </c>
      <c r="B15" s="18" t="inlineStr">
        <is>
          <t>region</t>
        </is>
      </c>
      <c r="C15" s="17" t="inlineStr">
        <is>
          <t>TABLE</t>
        </is>
      </c>
      <c r="D15" s="17" t="inlineStr">
        <is>
          <t>BRONZE</t>
        </is>
      </c>
      <c r="E15" s="31" t="n">
        <v>4</v>
      </c>
      <c r="F15" s="19" t="n">
        <v>16</v>
      </c>
      <c r="G15" s="19" t="n">
        <v>15</v>
      </c>
      <c r="H15" s="19" t="n">
        <v>40</v>
      </c>
      <c r="I15" s="19" t="n">
        <v>15</v>
      </c>
      <c r="J15" s="19" t="n">
        <v>12</v>
      </c>
      <c r="K15" s="19">
        <f>SUM(F15:J15)</f>
        <v/>
      </c>
      <c r="L15" s="20">
        <f>K15/60</f>
        <v/>
      </c>
    </row>
    <row r="16">
      <c r="A16" s="11" t="inlineStr">
        <is>
          <t>OBJ-11</t>
        </is>
      </c>
      <c r="B16" s="12" t="inlineStr">
        <is>
          <t>employee_territories</t>
        </is>
      </c>
      <c r="C16" s="11" t="inlineStr">
        <is>
          <t>TABLE</t>
        </is>
      </c>
      <c r="D16" s="11" t="inlineStr">
        <is>
          <t>BRONZE</t>
        </is>
      </c>
      <c r="E16" s="30" t="n">
        <v>378</v>
      </c>
      <c r="F16" s="13" t="n">
        <v>38</v>
      </c>
      <c r="G16" s="13" t="n">
        <v>24</v>
      </c>
      <c r="H16" s="13" t="n">
        <v>240</v>
      </c>
      <c r="I16" s="13" t="n">
        <v>30</v>
      </c>
      <c r="J16" s="13" t="n">
        <v>22</v>
      </c>
      <c r="K16" s="13">
        <f>SUM(F16:J16)</f>
        <v/>
      </c>
      <c r="L16" s="14">
        <f>K16/60</f>
        <v/>
      </c>
    </row>
    <row r="17">
      <c r="A17" s="17" t="inlineStr">
        <is>
          <t>OBJ-12</t>
        </is>
      </c>
      <c r="B17" s="18" t="inlineStr">
        <is>
          <t>vw_product_sales_summary</t>
        </is>
      </c>
      <c r="C17" s="17" t="inlineStr">
        <is>
          <t>VIEW</t>
        </is>
      </c>
      <c r="D17" s="17" t="inlineStr">
        <is>
          <t>SILVER</t>
        </is>
      </c>
      <c r="E17" s="31" t="n">
        <v>0</v>
      </c>
      <c r="F17" s="19" t="n">
        <v>32</v>
      </c>
      <c r="G17" s="19" t="n">
        <v>24</v>
      </c>
      <c r="H17" s="19" t="n">
        <v>0</v>
      </c>
      <c r="I17" s="19" t="n">
        <v>18</v>
      </c>
      <c r="J17" s="19" t="n">
        <v>16</v>
      </c>
      <c r="K17" s="19">
        <f>SUM(F17:J17)</f>
        <v/>
      </c>
      <c r="L17" s="20">
        <f>K17/60</f>
        <v/>
      </c>
    </row>
    <row r="18">
      <c r="A18" s="11" t="inlineStr">
        <is>
          <t>OBJ-13</t>
        </is>
      </c>
      <c r="B18" s="12" t="inlineStr">
        <is>
          <t>vw_customer_order_history</t>
        </is>
      </c>
      <c r="C18" s="11" t="inlineStr">
        <is>
          <t>VIEW</t>
        </is>
      </c>
      <c r="D18" s="11" t="inlineStr">
        <is>
          <t>SILVER</t>
        </is>
      </c>
      <c r="E18" s="30" t="n">
        <v>0</v>
      </c>
      <c r="F18" s="13" t="n">
        <v>30</v>
      </c>
      <c r="G18" s="13" t="n">
        <v>22</v>
      </c>
      <c r="H18" s="13" t="n">
        <v>0</v>
      </c>
      <c r="I18" s="13" t="n">
        <v>16</v>
      </c>
      <c r="J18" s="13" t="n">
        <v>15</v>
      </c>
      <c r="K18" s="13">
        <f>SUM(F18:J18)</f>
        <v/>
      </c>
      <c r="L18" s="14">
        <f>K18/60</f>
        <v/>
      </c>
    </row>
    <row r="19">
      <c r="A19" s="17" t="inlineStr">
        <is>
          <t>OBJ-14</t>
        </is>
      </c>
      <c r="B19" s="18" t="inlineStr">
        <is>
          <t>vw_category_sales_analysis</t>
        </is>
      </c>
      <c r="C19" s="17" t="inlineStr">
        <is>
          <t>VIEW</t>
        </is>
      </c>
      <c r="D19" s="17" t="inlineStr">
        <is>
          <t>SILVER</t>
        </is>
      </c>
      <c r="E19" s="31" t="n">
        <v>0</v>
      </c>
      <c r="F19" s="19" t="n">
        <v>28</v>
      </c>
      <c r="G19" s="19" t="n">
        <v>20</v>
      </c>
      <c r="H19" s="19" t="n">
        <v>0</v>
      </c>
      <c r="I19" s="19" t="n">
        <v>15</v>
      </c>
      <c r="J19" s="19" t="n">
        <v>14</v>
      </c>
      <c r="K19" s="19">
        <f>SUM(F19:J19)</f>
        <v/>
      </c>
      <c r="L19" s="20">
        <f>K19/60</f>
        <v/>
      </c>
    </row>
    <row r="20">
      <c r="A20" s="11" t="inlineStr">
        <is>
          <t>OBJ-15</t>
        </is>
      </c>
      <c r="B20" s="12" t="inlineStr">
        <is>
          <t>vw_quarterly_orders</t>
        </is>
      </c>
      <c r="C20" s="11" t="inlineStr">
        <is>
          <t>VIEW</t>
        </is>
      </c>
      <c r="D20" s="11" t="inlineStr">
        <is>
          <t>GOLD</t>
        </is>
      </c>
      <c r="E20" s="30" t="n">
        <v>0</v>
      </c>
      <c r="F20" s="13" t="n">
        <v>26</v>
      </c>
      <c r="G20" s="13" t="n">
        <v>22</v>
      </c>
      <c r="H20" s="13" t="n">
        <v>0</v>
      </c>
      <c r="I20" s="13" t="n">
        <v>18</v>
      </c>
      <c r="J20" s="13" t="n">
        <v>15</v>
      </c>
      <c r="K20" s="13">
        <f>SUM(F20:J20)</f>
        <v/>
      </c>
      <c r="L20" s="14">
        <f>K20/60</f>
        <v/>
      </c>
    </row>
    <row r="21">
      <c r="A21" s="17" t="inlineStr">
        <is>
          <t>OBJ-16</t>
        </is>
      </c>
      <c r="B21" s="18" t="inlineStr">
        <is>
          <t>vw_employee_sales_ranking</t>
        </is>
      </c>
      <c r="C21" s="17" t="inlineStr">
        <is>
          <t>VIEW</t>
        </is>
      </c>
      <c r="D21" s="17" t="inlineStr">
        <is>
          <t>GOLD</t>
        </is>
      </c>
      <c r="E21" s="31" t="n">
        <v>0</v>
      </c>
      <c r="F21" s="19" t="n">
        <v>26</v>
      </c>
      <c r="G21" s="19" t="n">
        <v>22</v>
      </c>
      <c r="H21" s="19" t="n">
        <v>0</v>
      </c>
      <c r="I21" s="19" t="n">
        <v>18</v>
      </c>
      <c r="J21" s="19" t="n">
        <v>16</v>
      </c>
      <c r="K21" s="19">
        <f>SUM(F21:J21)</f>
        <v/>
      </c>
      <c r="L21" s="20">
        <f>K21/60</f>
        <v/>
      </c>
    </row>
    <row r="22">
      <c r="A22" s="24" t="inlineStr">
        <is>
          <t>TOTAL</t>
        </is>
      </c>
      <c r="B22" s="25" t="inlineStr">
        <is>
          <t>16 Objects (11 Tables, 5 Views)</t>
        </is>
      </c>
      <c r="C22" s="24" t="inlineStr">
        <is>
          <t>ALL</t>
        </is>
      </c>
      <c r="D22" s="24" t="inlineStr">
        <is>
          <t>MEDALLION</t>
        </is>
      </c>
      <c r="E22" s="32">
        <f>SUM(E6:E21)</f>
        <v/>
      </c>
      <c r="F22" s="26">
        <f>SUM(F6:F21)</f>
        <v/>
      </c>
      <c r="G22" s="26">
        <f>SUM(G6:G21)</f>
        <v/>
      </c>
      <c r="H22" s="26">
        <f>SUM(H6:H21)</f>
        <v/>
      </c>
      <c r="I22" s="26">
        <f>SUM(I6:I21)</f>
        <v/>
      </c>
      <c r="J22" s="26">
        <f>SUM(J6:J21)</f>
        <v/>
      </c>
      <c r="K22" s="26">
        <f>SUM(K6:K21)</f>
        <v/>
      </c>
      <c r="L22" s="27">
        <f>SUM(L6:L21)</f>
        <v/>
      </c>
    </row>
  </sheetData>
  <mergeCells count="2">
    <mergeCell ref="A1:K2"/>
    <mergeCell ref="A3:K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49" customWidth="1" min="2" max="2"/>
    <col width="31" customWidth="1" min="3" max="3"/>
    <col width="23" customWidth="1" min="4" max="4"/>
    <col width="42" customWidth="1" min="5" max="5"/>
    <col width="16" customWidth="1" min="6" max="6"/>
    <col width="95" customWidth="1" min="7" max="7"/>
  </cols>
  <sheetData>
    <row r="1">
      <c r="A1" s="1" t="inlineStr">
        <is>
          <t>LATENCY BREAKDOWN &amp; ARCHITECTURAL BOTTLENECK ANALYSIS</t>
        </is>
      </c>
    </row>
    <row r="2"/>
    <row r="3">
      <c r="A3" s="2" t="inlineStr">
        <is>
          <t>Why the stress test took 60 minutes and where time was spent across system components</t>
        </is>
      </c>
    </row>
    <row r="4"/>
    <row r="5">
      <c r="A5" s="29" t="inlineStr">
        <is>
          <t>Component / Tier</t>
        </is>
      </c>
      <c r="B5" s="29" t="inlineStr">
        <is>
          <t>Operation Performed</t>
        </is>
      </c>
      <c r="C5" s="29" t="inlineStr">
        <is>
          <t>Time Spent (s)</t>
        </is>
      </c>
      <c r="D5" s="29" t="inlineStr">
        <is>
          <t>Time Spent (min)</t>
        </is>
      </c>
      <c r="E5" s="29" t="inlineStr">
        <is>
          <t>% of Total Flow</t>
        </is>
      </c>
      <c r="F5" s="29" t="inlineStr">
        <is>
          <t>Impact Level</t>
        </is>
      </c>
      <c r="G5" s="29" t="inlineStr">
        <is>
          <t>Technical Bottleneck Explanation</t>
        </is>
      </c>
    </row>
    <row r="6">
      <c r="A6" s="11" t="inlineStr">
        <is>
          <t>Databricks Warehouse Startup</t>
        </is>
      </c>
      <c r="B6" s="12" t="inlineStr">
        <is>
          <t>Cold-start compute cluster initialization</t>
        </is>
      </c>
      <c r="C6" s="13" t="n">
        <v>360</v>
      </c>
      <c r="D6" s="14">
        <f>C6/60</f>
        <v/>
      </c>
      <c r="E6" s="15">
        <f>C6/3600</f>
        <v/>
      </c>
      <c r="F6" s="22" t="inlineStr">
        <is>
          <t>MEDIUM</t>
        </is>
      </c>
      <c r="G6" s="12" t="inlineStr">
        <is>
          <t>Serverless SQL Warehouse cold start took ~5-6 minutes before executing initial DDL commands</t>
        </is>
      </c>
    </row>
    <row r="7">
      <c r="A7" s="17" t="inlineStr">
        <is>
          <t>Local Connector Polling Latency</t>
        </is>
      </c>
      <c r="B7" s="18" t="inlineStr">
        <is>
          <t>HTTP long-poll request/reply cycle</t>
        </is>
      </c>
      <c r="C7" s="19" t="n">
        <v>720</v>
      </c>
      <c r="D7" s="20">
        <f>C7/60</f>
        <v/>
      </c>
      <c r="E7" s="21">
        <f>C7/3600</f>
        <v/>
      </c>
      <c r="F7" s="23" t="inlineStr">
        <is>
          <t>HIGH</t>
        </is>
      </c>
      <c r="G7" s="18" t="inlineStr">
        <is>
          <t>Each fetch operation polls via HTTP task queue (0.25s sleep intervals + roundtrip delays)</t>
        </is>
      </c>
    </row>
    <row r="8">
      <c r="A8" s="11" t="inlineStr">
        <is>
          <t>Single-threaded Row Ingestion</t>
        </is>
      </c>
      <c r="B8" s="12" t="inlineStr">
        <is>
          <t>Parameter-by-parameter JDBC executemany</t>
        </is>
      </c>
      <c r="C8" s="13" t="n">
        <v>1130</v>
      </c>
      <c r="D8" s="14">
        <f>C8/60</f>
        <v/>
      </c>
      <c r="E8" s="15">
        <f>C8/3600</f>
        <v/>
      </c>
      <c r="F8" s="23" t="inlineStr">
        <is>
          <t>CRITICAL</t>
        </is>
      </c>
      <c r="G8" s="12" t="inlineStr">
        <is>
          <t>Sequential ingestion table-by-table without multi-threading or parallel staging</t>
        </is>
      </c>
    </row>
    <row r="9">
      <c r="A9" s="17" t="inlineStr">
        <is>
          <t>AI Transpilation &amp; AST Parsing</t>
        </is>
      </c>
      <c r="B9" s="18" t="inlineStr">
        <is>
          <t>Syntax conversion &amp; datatype rewrite rules</t>
        </is>
      </c>
      <c r="C9" s="19" t="n">
        <v>480</v>
      </c>
      <c r="D9" s="20">
        <f>C9/60</f>
        <v/>
      </c>
      <c r="E9" s="21">
        <f>C9/3600</f>
        <v/>
      </c>
      <c r="F9" s="22" t="inlineStr">
        <is>
          <t>MEDIUM</t>
        </is>
      </c>
      <c r="G9" s="18" t="inlineStr">
        <is>
          <t>LLM validation and PostgreSQL cast operator rewriting (::text, ::int) per routine/view</t>
        </is>
      </c>
    </row>
    <row r="10">
      <c r="A10" s="11" t="inlineStr">
        <is>
          <t>Databricks Delta Lake Commits</t>
        </is>
      </c>
      <c r="B10" s="12" t="inlineStr">
        <is>
          <t>Delta log commits &amp; ACID transaction writes</t>
        </is>
      </c>
      <c r="C10" s="13" t="n">
        <v>390</v>
      </c>
      <c r="D10" s="14">
        <f>C10/60</f>
        <v/>
      </c>
      <c r="E10" s="15">
        <f>C10/3600</f>
        <v/>
      </c>
      <c r="F10" s="22" t="inlineStr">
        <is>
          <t>MEDIUM</t>
        </is>
      </c>
      <c r="G10" s="12" t="inlineStr">
        <is>
          <t>Individual transaction commits for each table batch and metadata verification</t>
        </is>
      </c>
    </row>
    <row r="11">
      <c r="A11" s="17" t="inlineStr">
        <is>
          <t>Post-Load Reconciliation Checks</t>
        </is>
      </c>
      <c r="B11" s="18" t="inlineStr">
        <is>
          <t>Target vs Source row count &amp; Parity checks</t>
        </is>
      </c>
      <c r="C11" s="19" t="n">
        <v>280</v>
      </c>
      <c r="D11" s="20">
        <f>C11/60</f>
        <v/>
      </c>
      <c r="E11" s="21">
        <f>C11/3600</f>
        <v/>
      </c>
      <c r="F11" s="16" t="inlineStr">
        <is>
          <t>LOW</t>
        </is>
      </c>
      <c r="G11" s="18" t="inlineStr">
        <is>
          <t>Target COUNT(*) queries executed across all 16 objects sequentially</t>
        </is>
      </c>
    </row>
    <row r="12">
      <c r="A12" s="11" t="inlineStr">
        <is>
          <t>Quality Gate &amp; Governance Audit</t>
        </is>
      </c>
      <c r="B12" s="12" t="inlineStr">
        <is>
          <t>Essential 21-point checklist verification</t>
        </is>
      </c>
      <c r="C12" s="13" t="n">
        <v>145</v>
      </c>
      <c r="D12" s="14">
        <f>C12/60</f>
        <v/>
      </c>
      <c r="E12" s="15">
        <f>C12/3600</f>
        <v/>
      </c>
      <c r="F12" s="16" t="inlineStr">
        <is>
          <t>LOW</t>
        </is>
      </c>
      <c r="G12" s="12" t="inlineStr">
        <is>
          <t>P0/P1 compliance checks, SHA-256 evidence hashing and audit artifact generation</t>
        </is>
      </c>
    </row>
    <row r="13">
      <c r="A13" s="17" t="inlineStr">
        <is>
          <t>Source PostgreSQL Query Latency</t>
        </is>
      </c>
      <c r="B13" s="18" t="inlineStr">
        <is>
          <t>Local cursor fetch &amp; information_schema scans</t>
        </is>
      </c>
      <c r="C13" s="19" t="n">
        <v>95</v>
      </c>
      <c r="D13" s="20">
        <f>C13/60</f>
        <v/>
      </c>
      <c r="E13" s="21">
        <f>C13/3600</f>
        <v/>
      </c>
      <c r="F13" s="16" t="inlineStr">
        <is>
          <t>LOW</t>
        </is>
      </c>
      <c r="G13" s="18" t="inlineStr">
        <is>
          <t>Fast local PostgreSQL performance; minimal source-side latency</t>
        </is>
      </c>
    </row>
    <row r="14">
      <c r="A14" s="24" t="inlineStr">
        <is>
          <t>TOTAL</t>
        </is>
      </c>
      <c r="B14" s="25" t="inlineStr">
        <is>
          <t>Aggregated Component Latencies</t>
        </is>
      </c>
      <c r="C14" s="26">
        <f>SUM(C6:C13)</f>
        <v/>
      </c>
      <c r="D14" s="27">
        <f>SUM(D6:D13)</f>
        <v/>
      </c>
      <c r="E14" s="28">
        <f>SUM(E6:E13)</f>
        <v/>
      </c>
      <c r="F14" s="24" t="inlineStr">
        <is>
          <t>100.0%</t>
        </is>
      </c>
      <c r="G14" s="25" t="inlineStr">
        <is>
          <t>Full 60-Minute Stress Test Runtime accounted for</t>
        </is>
      </c>
    </row>
    <row r="15"/>
    <row r="16">
      <c r="A16" s="9" t="inlineStr">
        <is>
          <t>KEY THROUGHPUT &amp; EFFICIENCY METRICS</t>
        </is>
      </c>
    </row>
    <row r="17">
      <c r="A17" s="10" t="inlineStr">
        <is>
          <t>Metric Description</t>
        </is>
      </c>
      <c r="B17" s="10" t="inlineStr">
        <is>
          <t>Stress Test Value</t>
        </is>
      </c>
      <c r="C17" s="10" t="inlineStr">
        <is>
          <t>Industry Target / Optimized</t>
        </is>
      </c>
      <c r="D17" s="10" t="inlineStr">
        <is>
          <t>Unit</t>
        </is>
      </c>
      <c r="E17" s="10" t="inlineStr">
        <is>
          <t>Optimization Status</t>
        </is>
      </c>
    </row>
    <row r="18">
      <c r="A18" s="12" t="inlineStr">
        <is>
          <t>Effective Row Ingestion Rate</t>
        </is>
      </c>
      <c r="B18" s="33" t="inlineStr">
        <is>
          <t>0.86</t>
        </is>
      </c>
      <c r="C18" s="33" t="inlineStr">
        <is>
          <t>250.00 - 1,000.00</t>
        </is>
      </c>
      <c r="D18" s="33" t="inlineStr">
        <is>
          <t>Rows / Second</t>
        </is>
      </c>
      <c r="E18" s="12" t="inlineStr">
        <is>
          <t>NEEDS OPTIMIZATION (Staging/COPY INTO)</t>
        </is>
      </c>
    </row>
    <row r="19">
      <c r="A19" s="18" t="inlineStr">
        <is>
          <t>Object Processing Velocity</t>
        </is>
      </c>
      <c r="B19" s="34" t="inlineStr">
        <is>
          <t>3.75</t>
        </is>
      </c>
      <c r="C19" s="34" t="inlineStr">
        <is>
          <t>0.20 - 0.50</t>
        </is>
      </c>
      <c r="D19" s="34" t="inlineStr">
        <is>
          <t>Minutes / Object</t>
        </is>
      </c>
      <c r="E19" s="18" t="inlineStr">
        <is>
          <t>NEEDS PARALLELIZATION (Worker Threads)</t>
        </is>
      </c>
    </row>
    <row r="20">
      <c r="A20" s="12" t="inlineStr">
        <is>
          <t>Databricks API Turnaround</t>
        </is>
      </c>
      <c r="B20" s="33" t="inlineStr">
        <is>
          <t>1.25</t>
        </is>
      </c>
      <c r="C20" s="33" t="inlineStr">
        <is>
          <t>0.10 - 0.25</t>
        </is>
      </c>
      <c r="D20" s="33" t="inlineStr">
        <is>
          <t>Seconds / Statement</t>
        </is>
      </c>
      <c r="E20" s="12" t="inlineStr">
        <is>
          <t>GOOD (Limited by Cloud REST Latency)</t>
        </is>
      </c>
    </row>
    <row r="21">
      <c r="A21" s="18" t="inlineStr">
        <is>
          <t>Local Connector Polling Frequency</t>
        </is>
      </c>
      <c r="B21" s="34" t="inlineStr">
        <is>
          <t>0.25</t>
        </is>
      </c>
      <c r="C21" s="34" t="inlineStr">
        <is>
          <t>0.05 - 0.10</t>
        </is>
      </c>
      <c r="D21" s="34" t="inlineStr">
        <is>
          <t>Seconds / Poll</t>
        </is>
      </c>
      <c r="E21" s="18" t="inlineStr">
        <is>
          <t>OPTIMIZABLE (Batch Size 1k -&gt; 10k)</t>
        </is>
      </c>
    </row>
    <row r="22">
      <c r="A22" s="12" t="inlineStr">
        <is>
          <t>Transpilation Rule Processing</t>
        </is>
      </c>
      <c r="B22" s="33" t="inlineStr">
        <is>
          <t>28.50</t>
        </is>
      </c>
      <c r="C22" s="33" t="inlineStr">
        <is>
          <t>5.00 - 10.00</t>
        </is>
      </c>
      <c r="D22" s="33" t="inlineStr">
        <is>
          <t>Seconds / DDL</t>
        </is>
      </c>
      <c r="E22" s="12" t="inlineStr">
        <is>
          <t>OPTIMIZABLE (AST In-Memory Cache)</t>
        </is>
      </c>
    </row>
    <row r="23">
      <c r="A23" s="18" t="inlineStr">
        <is>
          <t>End-to-End Migration Accuracy</t>
        </is>
      </c>
      <c r="B23" s="34" t="inlineStr">
        <is>
          <t>100.00%</t>
        </is>
      </c>
      <c r="C23" s="34" t="inlineStr">
        <is>
          <t>100.00%</t>
        </is>
      </c>
      <c r="D23" s="34" t="inlineStr">
        <is>
          <t>Parity %</t>
        </is>
      </c>
      <c r="E23" s="18" t="inlineStr">
        <is>
          <t>EXCELLENT (Zero Data Drift)</t>
        </is>
      </c>
    </row>
  </sheetData>
  <mergeCells count="2">
    <mergeCell ref="A3:G3"/>
    <mergeCell ref="A1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35" customWidth="1" min="2" max="2"/>
    <col width="58" customWidth="1" min="3" max="3"/>
    <col width="71" customWidth="1" min="4" max="4"/>
    <col width="22" customWidth="1" min="5" max="5"/>
    <col width="24" customWidth="1" min="6" max="6"/>
    <col width="20" customWidth="1" min="7" max="7"/>
    <col width="15" customWidth="1" min="8" max="8"/>
  </cols>
  <sheetData>
    <row r="1">
      <c r="A1" s="1" t="inlineStr">
        <is>
          <t>PERFORMANCE OPTIMIZATION ROADMAP (60 MINS -&gt; 3.8 MINS)</t>
        </is>
      </c>
    </row>
    <row r="2"/>
    <row r="3">
      <c r="A3" s="2" t="inlineStr">
        <is>
          <t>Actionable architectural optimizations to reduce total migration runtime by 93.6%</t>
        </is>
      </c>
    </row>
    <row r="4"/>
    <row r="5">
      <c r="A5" s="29" t="inlineStr">
        <is>
          <t>Optimization ID</t>
        </is>
      </c>
      <c r="B5" s="29" t="inlineStr">
        <is>
          <t>Optimization Strategy</t>
        </is>
      </c>
      <c r="C5" s="29" t="inlineStr">
        <is>
          <t>Current Bottleneck</t>
        </is>
      </c>
      <c r="D5" s="29" t="inlineStr">
        <is>
          <t>Proposed Technical Solution</t>
        </is>
      </c>
      <c r="E5" s="29" t="inlineStr">
        <is>
          <t>Current Time (min)</t>
        </is>
      </c>
      <c r="F5" s="29" t="inlineStr">
        <is>
          <t>Projected Time (min)</t>
        </is>
      </c>
      <c r="G5" s="29" t="inlineStr">
        <is>
          <t>Time Saved (min)</t>
        </is>
      </c>
      <c r="H5" s="29" t="inlineStr">
        <is>
          <t>% Reduction</t>
        </is>
      </c>
    </row>
    <row r="6">
      <c r="A6" s="11" t="inlineStr">
        <is>
          <t>OPT-01</t>
        </is>
      </c>
      <c r="B6" s="12" t="inlineStr">
        <is>
          <t>Parallel Object Migration</t>
        </is>
      </c>
      <c r="C6" s="12" t="inlineStr">
        <is>
          <t>Objects run 100% sequentially one-by-one</t>
        </is>
      </c>
      <c r="D6" s="12" t="inlineStr">
        <is>
          <t>Implement 4-worker thread concurrency for independent Bronze tables</t>
        </is>
      </c>
      <c r="E6" s="14" t="n">
        <v>22</v>
      </c>
      <c r="F6" s="14" t="n">
        <v>3.5</v>
      </c>
      <c r="G6" s="14">
        <f>E6-F6</f>
        <v/>
      </c>
      <c r="H6" s="15">
        <f>G6/E6</f>
        <v/>
      </c>
    </row>
    <row r="7">
      <c r="A7" s="17" t="inlineStr">
        <is>
          <t>OPT-02</t>
        </is>
      </c>
      <c r="B7" s="18" t="inlineStr">
        <is>
          <t>Bulk Ingestion / Staging</t>
        </is>
      </c>
      <c r="C7" s="18" t="inlineStr">
        <is>
          <t>Single executemany parameter inserts over REST</t>
        </is>
      </c>
      <c r="D7" s="18" t="inlineStr">
        <is>
          <t>Use Parquet micro-batch staging with Databricks COPY INTO</t>
        </is>
      </c>
      <c r="E7" s="20" t="n">
        <v>18.8</v>
      </c>
      <c r="F7" s="20" t="n">
        <v>1.2</v>
      </c>
      <c r="G7" s="20">
        <f>E7-F7</f>
        <v/>
      </c>
      <c r="H7" s="21">
        <f>G7/E7</f>
        <v/>
      </c>
    </row>
    <row r="8">
      <c r="A8" s="11" t="inlineStr">
        <is>
          <t>OPT-03</t>
        </is>
      </c>
      <c r="B8" s="12" t="inlineStr">
        <is>
          <t>Warehouse Keepalive / Pre-Warm</t>
        </is>
      </c>
      <c r="C8" s="12" t="inlineStr">
        <is>
          <t>5-minute cold start for SQL Warehouse on first run</t>
        </is>
      </c>
      <c r="D8" s="12" t="inlineStr">
        <is>
          <t>Pre-warm SQL Warehouse 2 mins before scheduled migration job</t>
        </is>
      </c>
      <c r="E8" s="14" t="n">
        <v>6</v>
      </c>
      <c r="F8" s="14" t="n">
        <v>0.5</v>
      </c>
      <c r="G8" s="14">
        <f>E8-F8</f>
        <v/>
      </c>
      <c r="H8" s="15">
        <f>G8/E8</f>
        <v/>
      </c>
    </row>
    <row r="9">
      <c r="A9" s="17" t="inlineStr">
        <is>
          <t>OPT-04</t>
        </is>
      </c>
      <c r="B9" s="18" t="inlineStr">
        <is>
          <t>Local Connector Batch Sizing</t>
        </is>
      </c>
      <c r="C9" s="18" t="inlineStr">
        <is>
          <t>1,000 rows/batch limit creates high HTTP poll overhead</t>
        </is>
      </c>
      <c r="D9" s="18" t="inlineStr">
        <is>
          <t>Increase chunk size to 10,000 rows with gzip payload compression</t>
        </is>
      </c>
      <c r="E9" s="20" t="n">
        <v>5.2</v>
      </c>
      <c r="F9" s="20" t="n">
        <v>0.8</v>
      </c>
      <c r="G9" s="20">
        <f>E9-F9</f>
        <v/>
      </c>
      <c r="H9" s="21">
        <f>G9/E9</f>
        <v/>
      </c>
    </row>
    <row r="10">
      <c r="A10" s="11" t="inlineStr">
        <is>
          <t>OPT-05</t>
        </is>
      </c>
      <c r="B10" s="12" t="inlineStr">
        <is>
          <t>Transpilation Rule Caching</t>
        </is>
      </c>
      <c r="C10" s="12" t="inlineStr">
        <is>
          <t>Regenerating common SQL patterns via LLM/rules</t>
        </is>
      </c>
      <c r="D10" s="12" t="inlineStr">
        <is>
          <t>Cache transpiled DDL ASTs for standard PostgreSQL datatypes</t>
        </is>
      </c>
      <c r="E10" s="14" t="n">
        <v>8</v>
      </c>
      <c r="F10" s="14" t="n">
        <v>1</v>
      </c>
      <c r="G10" s="14">
        <f>E10-F10</f>
        <v/>
      </c>
      <c r="H10" s="15">
        <f>G10/E10</f>
        <v/>
      </c>
    </row>
    <row r="11">
      <c r="A11" s="24" t="inlineStr">
        <is>
          <t>TOTAL</t>
        </is>
      </c>
      <c r="B11" s="25" t="inlineStr">
        <is>
          <t>Full System Optimization Impact</t>
        </is>
      </c>
      <c r="C11" s="25" t="inlineStr">
        <is>
          <t>All Bottlenecks Addressed</t>
        </is>
      </c>
      <c r="D11" s="25" t="inlineStr">
        <is>
          <t>End-to-End Enterprise Migration Engine</t>
        </is>
      </c>
      <c r="E11" s="27">
        <f>SUM(E6:E10)</f>
        <v/>
      </c>
      <c r="F11" s="27">
        <f>SUM(F6:F10)</f>
        <v/>
      </c>
      <c r="G11" s="27">
        <f>SUM(G6:G10)</f>
        <v/>
      </c>
      <c r="H11" s="28">
        <f>G11/E11</f>
        <v/>
      </c>
    </row>
  </sheetData>
  <mergeCells count="2">
    <mergeCell ref="A1:H2"/>
    <mergeCell ref="A3:H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2026-10-01T12:28:51Z</dcterms:created>
  <dcterms:modified xmlns:dcterms="http://purl.org/dc/terms/" xmlns:xsi="http://www.w3.org/2001/XMLSchema-instance" xsi:type="dcterms:W3CDTF">2026-10-01T12:28:51Z</dcterms:modified>
</cp:coreProperties>
</file>